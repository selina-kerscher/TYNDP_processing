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/Documents/EDGE_MIP2026/Data/TYNDP_generators/"/>
    </mc:Choice>
  </mc:AlternateContent>
  <xr:revisionPtr revIDLastSave="0" documentId="8_{41AEF583-0BAB-784C-86FB-AA3F4A9CBF27}" xr6:coauthVersionLast="47" xr6:coauthVersionMax="47" xr10:uidLastSave="{00000000-0000-0000-0000-000000000000}"/>
  <bookViews>
    <workbookView xWindow="-20100" yWindow="1280" windowWidth="19520" windowHeight="15940" xr2:uid="{D87B1A68-747F-BA4F-9B62-E1C9DCEB12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J17" i="1"/>
  <c r="K17" i="1"/>
  <c r="L17" i="1"/>
  <c r="I18" i="1"/>
  <c r="J18" i="1"/>
  <c r="K18" i="1"/>
  <c r="L18" i="1"/>
  <c r="H18" i="1"/>
  <c r="H17" i="1"/>
  <c r="I12" i="1"/>
  <c r="J12" i="1"/>
  <c r="K12" i="1"/>
  <c r="L12" i="1"/>
  <c r="I13" i="1"/>
  <c r="J13" i="1"/>
  <c r="K13" i="1"/>
  <c r="L13" i="1"/>
  <c r="H13" i="1"/>
  <c r="H12" i="1"/>
  <c r="I7" i="1"/>
  <c r="J7" i="1"/>
  <c r="K7" i="1"/>
  <c r="L7" i="1"/>
  <c r="I8" i="1"/>
  <c r="J8" i="1"/>
  <c r="K8" i="1"/>
  <c r="L8" i="1"/>
  <c r="H8" i="1"/>
  <c r="H7" i="1"/>
  <c r="I3" i="1"/>
  <c r="J3" i="1"/>
  <c r="K3" i="1"/>
  <c r="L3" i="1"/>
  <c r="I2" i="1"/>
  <c r="J2" i="1"/>
  <c r="K2" i="1"/>
  <c r="L2" i="1"/>
  <c r="H3" i="1"/>
  <c r="H2" i="1"/>
</calcChain>
</file>

<file path=xl/sharedStrings.xml><?xml version="1.0" encoding="utf-8"?>
<sst xmlns="http://schemas.openxmlformats.org/spreadsheetml/2006/main" count="37" uniqueCount="11">
  <si>
    <t>GWh_DE2050</t>
  </si>
  <si>
    <t>AT</t>
  </si>
  <si>
    <t>CH</t>
  </si>
  <si>
    <t>DE</t>
  </si>
  <si>
    <t>FR</t>
  </si>
  <si>
    <t>IT</t>
  </si>
  <si>
    <t>Hydro Dam</t>
  </si>
  <si>
    <t>Hydro RoR</t>
  </si>
  <si>
    <t>MW_DE2050</t>
  </si>
  <si>
    <t>GWh_DE2035</t>
  </si>
  <si>
    <t>MW_DE2035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</si>
</sst>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0A57-3949-1C4E-A8FF-C25E7F8C0C20}">
  <dimension ref="A1:L18"/>
  <sheetViews>
    <sheetView tabSelected="1" workbookViewId="0"/>
  </sheetViews>
  <sheetFormatPr baseColWidth="10" defaultRowHeight="16" x14ac:dyDescent="0.2"/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</row>
    <row r="2" spans="1:12" x14ac:dyDescent="0.2">
      <c r="A2" s="3" t="s">
        <v>6</v>
      </c>
      <c r="B2" s="4">
        <v>7924.2830000000004</v>
      </c>
      <c r="C2" s="4">
        <v>13682.56</v>
      </c>
      <c r="D2" s="4">
        <v>431.221</v>
      </c>
      <c r="E2" s="4">
        <v>20794.47</v>
      </c>
      <c r="F2" s="4">
        <v>16871.66</v>
      </c>
      <c r="H2" s="5">
        <f>B2/(B$2+B$3)</f>
        <v>0.22896111333768451</v>
      </c>
      <c r="I2" s="5">
        <f t="shared" ref="I2:L3" si="0">C2/(C$2+C$3)</f>
        <v>0.42091805108336894</v>
      </c>
      <c r="J2" s="5">
        <f t="shared" si="0"/>
        <v>2.7322036677541094E-2</v>
      </c>
      <c r="K2" s="5">
        <f t="shared" si="0"/>
        <v>0.30671327588304925</v>
      </c>
      <c r="L2" s="5">
        <f t="shared" si="0"/>
        <v>0.41535065735637472</v>
      </c>
    </row>
    <row r="3" spans="1:12" x14ac:dyDescent="0.2">
      <c r="A3" s="3" t="s">
        <v>7</v>
      </c>
      <c r="B3" s="4">
        <v>26685.45</v>
      </c>
      <c r="C3" s="4">
        <v>18823.91</v>
      </c>
      <c r="D3" s="4">
        <v>15351.68</v>
      </c>
      <c r="E3" s="4">
        <v>47003.28</v>
      </c>
      <c r="F3" s="4">
        <v>23748.62</v>
      </c>
      <c r="H3" s="5">
        <f>B3/(B$2+B$3)</f>
        <v>0.77103888666231546</v>
      </c>
      <c r="I3" s="5">
        <f t="shared" si="0"/>
        <v>0.57908194891663101</v>
      </c>
      <c r="J3" s="5">
        <f t="shared" si="0"/>
        <v>0.97267796332245893</v>
      </c>
      <c r="K3" s="5">
        <f t="shared" si="0"/>
        <v>0.6932867241169508</v>
      </c>
      <c r="L3" s="5">
        <f t="shared" si="0"/>
        <v>0.58464934264362534</v>
      </c>
    </row>
    <row r="6" spans="1:12" x14ac:dyDescent="0.2">
      <c r="A6" s="1" t="s">
        <v>8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12" x14ac:dyDescent="0.2">
      <c r="A7" s="1" t="s">
        <v>6</v>
      </c>
      <c r="B7">
        <v>3936</v>
      </c>
      <c r="C7">
        <v>9291</v>
      </c>
      <c r="D7">
        <v>819</v>
      </c>
      <c r="E7">
        <v>9847</v>
      </c>
      <c r="F7">
        <v>8795</v>
      </c>
      <c r="H7" s="5">
        <f>B7/(B$7+B$8)</f>
        <v>0.42386388111135043</v>
      </c>
      <c r="I7" s="5">
        <f t="shared" ref="I7:L8" si="1">C7/(C$7+C$8)</f>
        <v>0.67448275862068963</v>
      </c>
      <c r="J7" s="5">
        <f t="shared" si="1"/>
        <v>0.17231222385861561</v>
      </c>
      <c r="K7" s="5">
        <f t="shared" si="1"/>
        <v>0.41996843945920587</v>
      </c>
      <c r="L7" s="5">
        <f t="shared" si="1"/>
        <v>0.55502966048214064</v>
      </c>
    </row>
    <row r="8" spans="1:12" x14ac:dyDescent="0.2">
      <c r="A8" s="1" t="s">
        <v>7</v>
      </c>
      <c r="B8">
        <v>5350</v>
      </c>
      <c r="C8">
        <v>4484</v>
      </c>
      <c r="D8">
        <v>3934</v>
      </c>
      <c r="E8">
        <v>13600</v>
      </c>
      <c r="F8">
        <v>7051</v>
      </c>
      <c r="H8" s="5">
        <f>B8/(B$7+B$8)</f>
        <v>0.57613611888864957</v>
      </c>
      <c r="I8" s="5">
        <f t="shared" si="1"/>
        <v>0.32551724137931032</v>
      </c>
      <c r="J8" s="5">
        <f t="shared" si="1"/>
        <v>0.82768777614138433</v>
      </c>
      <c r="K8" s="5">
        <f t="shared" si="1"/>
        <v>0.58003156054079408</v>
      </c>
      <c r="L8" s="5">
        <f t="shared" si="1"/>
        <v>0.44497033951785941</v>
      </c>
    </row>
    <row r="11" spans="1:12" x14ac:dyDescent="0.2">
      <c r="A11" s="1" t="s">
        <v>9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12" x14ac:dyDescent="0.2">
      <c r="A12" s="1" t="s">
        <v>6</v>
      </c>
      <c r="B12">
        <v>7936.5870000000004</v>
      </c>
      <c r="C12">
        <v>12738.442999999999</v>
      </c>
      <c r="D12">
        <v>424.68</v>
      </c>
      <c r="E12">
        <v>20805.532999999999</v>
      </c>
      <c r="F12">
        <v>16870.636999999999</v>
      </c>
      <c r="H12" s="5">
        <f>B12/(B$12+B$13)</f>
        <v>0.22233116029288844</v>
      </c>
      <c r="I12" s="5">
        <f t="shared" ref="I12:L13" si="2">C12/(C$12+C$13)</f>
        <v>0.41616988889813461</v>
      </c>
      <c r="J12" s="5">
        <f t="shared" si="2"/>
        <v>2.746104092527956E-2</v>
      </c>
      <c r="K12" s="5">
        <f t="shared" si="2"/>
        <v>0.30682638553192193</v>
      </c>
      <c r="L12" s="5">
        <f t="shared" si="2"/>
        <v>0.41322038285541596</v>
      </c>
    </row>
    <row r="13" spans="1:12" x14ac:dyDescent="0.2">
      <c r="A13" s="1" t="s">
        <v>7</v>
      </c>
      <c r="B13">
        <v>27760.555</v>
      </c>
      <c r="C13">
        <v>17870.313999999998</v>
      </c>
      <c r="D13">
        <v>15040.138000000001</v>
      </c>
      <c r="E13">
        <v>47003.28</v>
      </c>
      <c r="F13">
        <v>23956.577000000001</v>
      </c>
      <c r="H13" s="5">
        <f>B13/(B$12+B$13)</f>
        <v>0.77766883970711154</v>
      </c>
      <c r="I13" s="5">
        <f t="shared" si="2"/>
        <v>0.58383011110186533</v>
      </c>
      <c r="J13" s="5">
        <f t="shared" si="2"/>
        <v>0.97253895907472043</v>
      </c>
      <c r="K13" s="5">
        <f t="shared" si="2"/>
        <v>0.69317361446807813</v>
      </c>
      <c r="L13" s="5">
        <f t="shared" si="2"/>
        <v>0.58677961714458404</v>
      </c>
    </row>
    <row r="16" spans="1:12" x14ac:dyDescent="0.2">
      <c r="A16" s="1" t="s">
        <v>10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12" x14ac:dyDescent="0.2">
      <c r="A17" s="1" t="s">
        <v>6</v>
      </c>
      <c r="B17">
        <v>3936</v>
      </c>
      <c r="C17">
        <v>8730</v>
      </c>
      <c r="D17">
        <v>819</v>
      </c>
      <c r="E17">
        <v>9847</v>
      </c>
      <c r="F17">
        <v>8795</v>
      </c>
      <c r="H17" s="5">
        <f>B17/(B$17+B$18)</f>
        <v>0.42427508892961086</v>
      </c>
      <c r="I17" s="5">
        <f t="shared" ref="I17:L18" si="3">C17/(C$17+C$18)</f>
        <v>0.67195197044334976</v>
      </c>
      <c r="J17" s="5">
        <f t="shared" si="3"/>
        <v>0.17231222385861561</v>
      </c>
      <c r="K17" s="5">
        <f t="shared" si="3"/>
        <v>0.41996843945920587</v>
      </c>
      <c r="L17" s="5">
        <f t="shared" si="3"/>
        <v>0.55502966048214064</v>
      </c>
    </row>
    <row r="18" spans="1:12" x14ac:dyDescent="0.2">
      <c r="A18" s="1" t="s">
        <v>7</v>
      </c>
      <c r="B18">
        <v>5341</v>
      </c>
      <c r="C18">
        <v>4262</v>
      </c>
      <c r="D18">
        <v>3934</v>
      </c>
      <c r="E18">
        <v>13600</v>
      </c>
      <c r="F18">
        <v>7051</v>
      </c>
      <c r="H18" s="5">
        <f>B18/(B$17+B$18)</f>
        <v>0.57572491107038914</v>
      </c>
      <c r="I18" s="5">
        <f t="shared" si="3"/>
        <v>0.32804802955665024</v>
      </c>
      <c r="J18" s="5">
        <f t="shared" si="3"/>
        <v>0.82768777614138433</v>
      </c>
      <c r="K18" s="5">
        <f t="shared" si="3"/>
        <v>0.58003156054079408</v>
      </c>
      <c r="L18" s="5">
        <f t="shared" si="3"/>
        <v>0.44497033951785941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Kerscher</dc:creator>
  <cp:lastModifiedBy>Selina Kerscher</cp:lastModifiedBy>
  <dcterms:created xsi:type="dcterms:W3CDTF">2026-01-09T16:46:05Z</dcterms:created>
  <dcterms:modified xsi:type="dcterms:W3CDTF">2026-01-09T16:56:04Z</dcterms:modified>
</cp:coreProperties>
</file>